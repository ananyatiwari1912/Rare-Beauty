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istorical Financials" sheetId="1" state="visible" r:id="rId3"/>
    <sheet name="Sales Forecast" sheetId="2" state="visible" r:id="rId4"/>
    <sheet name="Product KPIs" sheetId="3" state="visible" r:id="rId5"/>
    <sheet name="Consumer Survey" sheetId="4" state="visible" r:id="rId6"/>
    <sheet name="Competitive Landscape" sheetId="5" state="visible" r:id="rId7"/>
    <sheet name="Full Timeline (Hist+Forecast)" sheetId="6" state="visible" r:id="rId8"/>
    <sheet name="Metadata &amp; Note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<sst xmlns="http://schemas.openxmlformats.org/spreadsheetml/2006/main" count="181" uniqueCount="166">
  <si>
    <t xml:space="preserve">Rare Beauty – Soft Pinch Liquid Blush | Historical Financial Performance</t>
  </si>
  <si>
    <t xml:space="preserve">Source: Analytical Report by Anannya Tiwari (CBSE Class 11 Entrepreneurship Project). All figures in USD Million. ~ indicates estimated/approximate values from report.</t>
  </si>
  <si>
    <t xml:space="preserve">Year</t>
  </si>
  <si>
    <t xml:space="preserve">Revenue (USD Mn)</t>
  </si>
  <si>
    <t xml:space="preserve">Blush Contribution Low (USD Mn)</t>
  </si>
  <si>
    <t xml:space="preserve">Blush Contribution Mid (USD Mn)</t>
  </si>
  <si>
    <t xml:space="preserve">Blush Contribution High (USD Mn)</t>
  </si>
  <si>
    <t xml:space="preserve">Blush Share of Revenue (%)</t>
  </si>
  <si>
    <t xml:space="preserve">YoY Revenue Growth (%)</t>
  </si>
  <si>
    <t xml:space="preserve">-</t>
  </si>
  <si>
    <t xml:space="preserve">Notes &amp; Assumptions</t>
  </si>
  <si>
    <t xml:space="preserve">• 2021–2024 revenue figures are approximate values derived from the report ranges ($300–350M in 2023 → ~$370M midpoint used; $400–540M in 2024 → ~$480M).</t>
  </si>
  <si>
    <t xml:space="preserve">• Blush contribution: 2022 confirmed ~$70M from 3.1M+ units. Other years use midpoints of reported ranges.</t>
  </si>
  <si>
    <t xml:space="preserve">• 2025 is marked as ESTIMATED in the original report.</t>
  </si>
  <si>
    <t xml:space="preserve">• Blue text = hardcoded inputs from report. Black text = Excel formulas (dynamic).</t>
  </si>
  <si>
    <t xml:space="preserve">• Sephora Blush Market Share (2022): &gt;26% (not in table – see Product KPIs sheet).</t>
  </si>
  <si>
    <t xml:space="preserve">Rare Beauty – 5-Year Sales Forecast (2026–2030)</t>
  </si>
  <si>
    <t xml:space="preserve">Forecast based on report assumptions: continued Ulta expansion, new blush extensions, international entry; growth tapering to industry average (~5–8%).</t>
  </si>
  <si>
    <t xml:space="preserve">Projected Revenue (USD Mn)</t>
  </si>
  <si>
    <t xml:space="preserve">Projected Blush Contribution (USD Mn)</t>
  </si>
  <si>
    <t xml:space="preserve">Blush Share (%)</t>
  </si>
  <si>
    <t xml:space="preserve">Implied YoY Growth (%)</t>
  </si>
  <si>
    <t xml:space="preserve">Forecast Assumptions (from report)</t>
  </si>
  <si>
    <t xml:space="preserve">• Higher growth 2026–2027 driven by Ulta Beauty expansion effect, new blush variants, and international market entry.</t>
  </si>
  <si>
    <t xml:space="preserve">• Growth tapers toward industry average of ~5–8% as the company scales.</t>
  </si>
  <si>
    <t xml:space="preserve">• Blush category remains a reliable 15–20% revenue contributor.</t>
  </si>
  <si>
    <t xml:space="preserve">• Risks: increased competition from dupes, social media algorithm changes, economic slowdown in discretionary spend.</t>
  </si>
  <si>
    <t xml:space="preserve">• Opportunities: new blush variants, high-growth Asia markets, higher average order value via brand equity.</t>
  </si>
  <si>
    <t xml:space="preserve">Soft Pinch Liquid Blush – Key Performance Indicators</t>
  </si>
  <si>
    <t xml:space="preserve">Metric</t>
  </si>
  <si>
    <t xml:space="preserve">Value</t>
  </si>
  <si>
    <t xml:space="preserve">Source / Notes</t>
  </si>
  <si>
    <t xml:space="preserve">Launch Year</t>
  </si>
  <si>
    <t xml:space="preserve">2020 (Sept)</t>
  </si>
  <si>
    <t xml:space="preserve">Company Overview – launched during COVID / TikTok boom</t>
  </si>
  <si>
    <t xml:space="preserve">Flagship Product</t>
  </si>
  <si>
    <t xml:space="preserve">Soft Pinch Liquid Blush</t>
  </si>
  <si>
    <t xml:space="preserve">Central case of the report</t>
  </si>
  <si>
    <t xml:space="preserve">2022 Units Sold</t>
  </si>
  <si>
    <t xml:space="preserve">3.1 Million+</t>
  </si>
  <si>
    <t xml:space="preserve">Case Study – Business Impact section</t>
  </si>
  <si>
    <t xml:space="preserve">2022 Blush Revenue</t>
  </si>
  <si>
    <t xml:space="preserve">$70 Million</t>
  </si>
  <si>
    <t xml:space="preserve">Single SKU revenue</t>
  </si>
  <si>
    <t xml:space="preserve">Sephora Blush Market Share (2022)</t>
  </si>
  <si>
    <t xml:space="preserve">&gt;26%</t>
  </si>
  <si>
    <t xml:space="preserve">Top performer in Sephora blush category</t>
  </si>
  <si>
    <t xml:space="preserve">Price Point</t>
  </si>
  <si>
    <t xml:space="preserve">~$25</t>
  </si>
  <si>
    <t xml:space="preserve">Accessible premium positioning</t>
  </si>
  <si>
    <t xml:space="preserve">Shade Range</t>
  </si>
  <si>
    <t xml:space="preserve">Wide / Inclusive</t>
  </si>
  <si>
    <t xml:space="preserve">Designed for diverse skin tones</t>
  </si>
  <si>
    <t xml:space="preserve">Unique Selling Proposition</t>
  </si>
  <si>
    <t xml:space="preserve">Effortless natural 'pinched' flush + buildable formula</t>
  </si>
  <si>
    <t xml:space="preserve">Everyday confidence positioning</t>
  </si>
  <si>
    <t xml:space="preserve">Brand Valuation (late 2025)</t>
  </si>
  <si>
    <t xml:space="preserve">$2.7 Billion</t>
  </si>
  <si>
    <t xml:space="preserve">Report conclusion &amp; financial analysis</t>
  </si>
  <si>
    <t xml:space="preserve">Rare Impact Fund</t>
  </si>
  <si>
    <t xml:space="preserve">1% of all sales to mental health</t>
  </si>
  <si>
    <t xml:space="preserve">Purpose-driven brand from day 1</t>
  </si>
  <si>
    <t xml:space="preserve">Key Retail Partners</t>
  </si>
  <si>
    <t xml:space="preserve">Sephora (core) + Ulta (2026 expansion)</t>
  </si>
  <si>
    <t xml:space="preserve">Business model: D2C + Sephora + Ulta</t>
  </si>
  <si>
    <t xml:space="preserve">Primary Discovery Channel</t>
  </si>
  <si>
    <t xml:space="preserve">TikTok &amp; Instagram (UGC + Celebrity)</t>
  </si>
  <si>
    <t xml:space="preserve">Viral marketing engine</t>
  </si>
  <si>
    <t xml:space="preserve">Primary Consumer Survey Insights (n=5, Class 11 students – Young Target Audience)</t>
  </si>
  <si>
    <t xml:space="preserve">Note: Small sample size (n=5). Results are directional / illustrative of primary research methodology taught in the curriculum. Not statistically significant for population inference.</t>
  </si>
  <si>
    <t xml:space="preserve">Insight Category</t>
  </si>
  <si>
    <t xml:space="preserve">Result (%)</t>
  </si>
  <si>
    <t xml:space="preserve">Business Interpretation</t>
  </si>
  <si>
    <t xml:space="preserve">Brand Awareness</t>
  </si>
  <si>
    <t xml:space="preserve">Heard of Rare Beauty</t>
  </si>
  <si>
    <t xml:space="preserve">Extremely high awareness among young respondents</t>
  </si>
  <si>
    <t xml:space="preserve">Discovery Channel</t>
  </si>
  <si>
    <t xml:space="preserve">First discovered via Social Media</t>
  </si>
  <si>
    <t xml:space="preserve">Validates digital-first / TikTok-Instagram strategy &amp; low CAC</t>
  </si>
  <si>
    <t xml:space="preserve">Hero Product</t>
  </si>
  <si>
    <t xml:space="preserve">Soft Pinch Liquid Blush is the most known product</t>
  </si>
  <si>
    <t xml:space="preserve">Blush successfully acts as the brand face &amp; entry point</t>
  </si>
  <si>
    <t xml:space="preserve">Purchase Behaviour</t>
  </si>
  <si>
    <t xml:space="preserve">Already purchased a Rare Beauty product</t>
  </si>
  <si>
    <t xml:space="preserve">Strong conversion from awareness to trial</t>
  </si>
  <si>
    <t xml:space="preserve">Advocacy</t>
  </si>
  <si>
    <t xml:space="preserve">Would recommend Rare Beauty</t>
  </si>
  <si>
    <t xml:space="preserve">Exceptional word-of-mouth potential → organic growth engine</t>
  </si>
  <si>
    <t xml:space="preserve">Product Perception</t>
  </si>
  <si>
    <t xml:space="preserve">Packaging rated Excellent</t>
  </si>
  <si>
    <t xml:space="preserve">Strong visual &amp; unboxing experience</t>
  </si>
  <si>
    <t xml:space="preserve">Quality rated Excellent</t>
  </si>
  <si>
    <t xml:space="preserve">Delivers on performance promise</t>
  </si>
  <si>
    <t xml:space="preserve">Value Perception</t>
  </si>
  <si>
    <t xml:space="preserve">Feels value for money (Yes)</t>
  </si>
  <si>
    <t xml:space="preserve">Justifies accessible-premium $25 price point</t>
  </si>
  <si>
    <t xml:space="preserve">Attraction Drivers</t>
  </si>
  <si>
    <t xml:space="preserve">Product quality as key attraction</t>
  </si>
  <si>
    <t xml:space="preserve">Rational benefit remains important</t>
  </si>
  <si>
    <t xml:space="preserve">Inclusive brand image as key attraction</t>
  </si>
  <si>
    <t xml:space="preserve">Emotional / values-based differentiation works</t>
  </si>
  <si>
    <t xml:space="preserve">Competitive Positioning – Soft Pinch Liquid Blush vs Key Players</t>
  </si>
  <si>
    <t xml:space="preserve">Competitor</t>
  </si>
  <si>
    <t xml:space="preserve">Core Positioning</t>
  </si>
  <si>
    <t xml:space="preserve">Strength</t>
  </si>
  <si>
    <t xml:space="preserve">Limitation vs Rare Beauty</t>
  </si>
  <si>
    <t xml:space="preserve">Rare Beauty Advantage</t>
  </si>
  <si>
    <t xml:space="preserve">Fenty Beauty</t>
  </si>
  <si>
    <t xml:space="preserve">Bold, high-coverage, dramatic looks</t>
  </si>
  <si>
    <t xml:space="preserve">Strong colour payoff &amp; inclusivity</t>
  </si>
  <si>
    <t xml:space="preserve">Can feel heavy for everyday wear</t>
  </si>
  <si>
    <t xml:space="preserve">Lightness + everyday blendability</t>
  </si>
  <si>
    <t xml:space="preserve">Charlotte Tilbury</t>
  </si>
  <si>
    <t xml:space="preserve">Luxury sculpted / contoured results</t>
  </si>
  <si>
    <t xml:space="preserve">Prestige, professional finish</t>
  </si>
  <si>
    <t xml:space="preserve">Higher price, less accessible for beginners/young</t>
  </si>
  <si>
    <t xml:space="preserve">Accessible premium + beginner-friendly</t>
  </si>
  <si>
    <t xml:space="preserve">Huda Beauty</t>
  </si>
  <si>
    <t xml:space="preserve">Vibrant, intense colours for enthusiasts</t>
  </si>
  <si>
    <t xml:space="preserve">Highly pigmented, Instagram-ready</t>
  </si>
  <si>
    <t xml:space="preserve">Requires more skill &amp; time</t>
  </si>
  <si>
    <t xml:space="preserve">Forgiving, effortless application</t>
  </si>
  <si>
    <t xml:space="preserve">e.l.f. Cosmetics</t>
  </si>
  <si>
    <t xml:space="preserve">Highly affordable / mass market</t>
  </si>
  <si>
    <t xml:space="preserve">Price accessibility</t>
  </si>
  <si>
    <t xml:space="preserve">Often lacks premium texture &amp; long-wear</t>
  </si>
  <si>
    <t xml:space="preserve">Better quality-to-price balance</t>
  </si>
  <si>
    <t xml:space="preserve">NARS</t>
  </si>
  <si>
    <t xml:space="preserve">Classic strong pigmentation (powder/stick)</t>
  </si>
  <si>
    <t xml:space="preserve">Professional favourite, buildable</t>
  </si>
  <si>
    <t xml:space="preserve">Less focus on natural liquid dewy finish</t>
  </si>
  <si>
    <t xml:space="preserve">Natural liquid 'pinched' flush for younger consumers</t>
  </si>
  <si>
    <t xml:space="preserve">Rare Beauty’s Strategic Moat</t>
  </si>
  <si>
    <t xml:space="preserve">Owns the 'Effortless Confidence' position: superior everyday blendability + natural dewy finish + true inclusivity + deep emotional branding (self-acceptance + mental health). This combination is difficult for pure boldness, pure luxury, or pure value players to replicate simultaneously.</t>
  </si>
  <si>
    <t xml:space="preserve">Complete Revenue &amp; Blush Contribution Timeline (2021–2030)</t>
  </si>
  <si>
    <t xml:space="preserve">Type</t>
  </si>
  <si>
    <t xml:space="preserve">Blush Contribution (USD Mn)</t>
  </si>
  <si>
    <t xml:space="preserve">YoY Growth (%)</t>
  </si>
  <si>
    <t xml:space="preserve">Historical</t>
  </si>
  <si>
    <t xml:space="preserve">Historical (Est.)</t>
  </si>
  <si>
    <t xml:space="preserve">Forecast</t>
  </si>
  <si>
    <t xml:space="preserve">Colour Legend: Yellow = Estimated historical | Light Blue = Forecast period</t>
  </si>
  <si>
    <t xml:space="preserve">Project Metadata &amp; Data Notes</t>
  </si>
  <si>
    <t xml:space="preserve">Project Title</t>
  </si>
  <si>
    <t xml:space="preserve">Rare Beauty – Soft Pinch Liquid Blush Analytical Report (Business Analyst Dashboard)</t>
  </si>
  <si>
    <t xml:space="preserve">Original Author of Report</t>
  </si>
  <si>
    <t xml:space="preserve">Anannya Tiwari</t>
  </si>
  <si>
    <t xml:space="preserve">Curriculum Context</t>
  </si>
  <si>
    <t xml:space="preserve">CBSE Class 11 Entrepreneurship</t>
  </si>
  <si>
    <t xml:space="preserve">Dashboard Created For</t>
  </si>
  <si>
    <t xml:space="preserve">GitHub Portfolio / Business Analyst Demonstration</t>
  </si>
  <si>
    <t xml:space="preserve">Data Extraction Date</t>
  </si>
  <si>
    <t xml:space="preserve">July 2026</t>
  </si>
  <si>
    <t xml:space="preserve">Primary Source</t>
  </si>
  <si>
    <t xml:space="preserve">PDF Report: Rare Beauty Analytical Report (10 pages)</t>
  </si>
  <si>
    <t xml:space="preserve">Important Caveats</t>
  </si>
  <si>
    <t xml:space="preserve">1. Most financial figures in the original report are approximate / estimated (denoted by ~ or ranges).</t>
  </si>
  <si>
    <t xml:space="preserve">2. Mid-points of ranges were used for modelling consistency (e.g., $300–350M → 370; $400–540M → 480).</t>
  </si>
  <si>
    <t xml:space="preserve">3. 2025 revenue is explicitly marked as ESTIMATED in the report.</t>
  </si>
  <si>
    <t xml:space="preserve">4. Consumer survey has n=5 (illustrative primary research only).</t>
  </si>
  <si>
    <t xml:space="preserve">5. Forecast numbers for 2026–2030 are derived from the qualitative description + graphical representation in the report.</t>
  </si>
  <si>
    <t xml:space="preserve">6. This workbook is designed so that all calculated fields (shares, growth rates) use Excel formulas and will update if inputs change.</t>
  </si>
  <si>
    <t xml:space="preserve">Recommended Usage with Python Dashboard</t>
  </si>
  <si>
    <t xml:space="preserve">• Load 'Historical Financials', 'Sales Forecast', and 'Full Timeline (Hist+Forecast)' sheets with pandas.</t>
  </si>
  <si>
    <t xml:space="preserve">• Use Product KPIs and Consumer Survey for KPI cards and insight sections.</t>
  </si>
  <si>
    <t xml:space="preserve">• Competitive Landscape can be displayed as a comparison table or qualitative analysis.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</si>
</sst>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"/>
    <numFmt numFmtId="166" formatCode="#,##0.0"/>
    <numFmt numFmtId="167" formatCode="0.0%"/>
    <numFmt numFmtId="168" formatCode="0\%"/>
    <numFmt numFmtId="169" formatCode="#,##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8B2E5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8B2E5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B45309"/>
      <name val="Arial"/>
      <family val="0"/>
      <charset val="1"/>
    </font>
    <font>
      <b val="true"/>
      <sz val="10"/>
      <color rgb="FF8B2E5F"/>
      <name val="Arial"/>
      <family val="0"/>
      <charset val="1"/>
    </font>
    <font>
      <i val="true"/>
      <sz val="9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8B2E5F"/>
        <bgColor rgb="FF993366"/>
      </patternFill>
    </fill>
    <fill>
      <patternFill patternType="solid">
        <fgColor rgb="FFFDF2F8"/>
        <bgColor rgb="FFFFFFFF"/>
      </patternFill>
    </fill>
    <fill>
      <patternFill patternType="solid">
        <fgColor rgb="FFFFF2CC"/>
        <bgColor rgb="FFFDF2F8"/>
      </patternFill>
    </fill>
    <fill>
      <patternFill patternType="solid">
        <fgColor rgb="FFE0F2FE"/>
        <bgColor rgb="FFFDF2F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8B2E5F"/>
      <rgbColor rgb="FFFFF2CC"/>
      <rgbColor rgb="FFE0F2FE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DF2F8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B45309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8"/>
    <col collapsed="false" customWidth="true" hidden="false" outlineLevel="0" max="5" min="3" style="0" width="28"/>
    <col collapsed="false" customWidth="true" hidden="false" outlineLevel="0" max="6" min="6" style="0" width="22"/>
    <col collapsed="false" customWidth="true" hidden="false" outlineLevel="0" max="7" min="7" style="0" width="20"/>
  </cols>
  <sheetData>
    <row r="1" customFormat="false" ht="24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34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15" hidden="false" customHeight="false" outlineLevel="0" collapsed="false">
      <c r="A5" s="4" t="n">
        <v>2021</v>
      </c>
      <c r="B5" s="5" t="n">
        <v>120</v>
      </c>
      <c r="C5" s="5" t="n">
        <v>30</v>
      </c>
      <c r="D5" s="5" t="n">
        <v>35</v>
      </c>
      <c r="E5" s="5" t="n">
        <v>40</v>
      </c>
      <c r="F5" s="6" t="n">
        <f aca="false">D5/B5</f>
        <v>0.291666666666667</v>
      </c>
      <c r="G5" s="7" t="s">
        <v>9</v>
      </c>
    </row>
    <row r="6" customFormat="false" ht="15" hidden="false" customHeight="false" outlineLevel="0" collapsed="false">
      <c r="A6" s="4" t="n">
        <v>2022</v>
      </c>
      <c r="B6" s="5" t="n">
        <v>250</v>
      </c>
      <c r="C6" s="5" t="n">
        <v>70</v>
      </c>
      <c r="D6" s="5" t="n">
        <v>70</v>
      </c>
      <c r="E6" s="5" t="n">
        <v>70</v>
      </c>
      <c r="F6" s="6" t="n">
        <f aca="false">D6/B6</f>
        <v>0.28</v>
      </c>
      <c r="G6" s="6" t="n">
        <f aca="false">(B6-B5)/B5</f>
        <v>1.08333333333333</v>
      </c>
    </row>
    <row r="7" customFormat="false" ht="15" hidden="false" customHeight="false" outlineLevel="0" collapsed="false">
      <c r="A7" s="4" t="n">
        <v>2023</v>
      </c>
      <c r="B7" s="5" t="n">
        <v>370</v>
      </c>
      <c r="C7" s="5" t="n">
        <v>80</v>
      </c>
      <c r="D7" s="5" t="n">
        <v>85</v>
      </c>
      <c r="E7" s="5" t="n">
        <v>90</v>
      </c>
      <c r="F7" s="6" t="n">
        <f aca="false">D7/B7</f>
        <v>0.22972972972973</v>
      </c>
      <c r="G7" s="6" t="n">
        <f aca="false">(B7-B6)/B6</f>
        <v>0.48</v>
      </c>
    </row>
    <row r="8" customFormat="false" ht="15" hidden="false" customHeight="false" outlineLevel="0" collapsed="false">
      <c r="A8" s="4" t="n">
        <v>2024</v>
      </c>
      <c r="B8" s="5" t="n">
        <v>480</v>
      </c>
      <c r="C8" s="5" t="n">
        <v>90</v>
      </c>
      <c r="D8" s="5" t="n">
        <v>100</v>
      </c>
      <c r="E8" s="5" t="n">
        <v>110</v>
      </c>
      <c r="F8" s="6" t="n">
        <f aca="false">D8/B8</f>
        <v>0.208333333333333</v>
      </c>
      <c r="G8" s="6" t="n">
        <f aca="false">(B8-B7)/B7</f>
        <v>0.297297297297297</v>
      </c>
    </row>
    <row r="9" customFormat="false" ht="15" hidden="false" customHeight="false" outlineLevel="0" collapsed="false">
      <c r="A9" s="4" t="n">
        <v>2025</v>
      </c>
      <c r="B9" s="5" t="n">
        <v>530</v>
      </c>
      <c r="C9" s="5" t="n">
        <v>100</v>
      </c>
      <c r="D9" s="5" t="n">
        <v>105</v>
      </c>
      <c r="E9" s="5" t="n">
        <v>110</v>
      </c>
      <c r="F9" s="6" t="n">
        <f aca="false">D9/B9</f>
        <v>0.19811320754717</v>
      </c>
      <c r="G9" s="6" t="n">
        <f aca="false">(B9-B8)/B8</f>
        <v>0.104166666666667</v>
      </c>
    </row>
    <row r="11" customFormat="false" ht="15" hidden="false" customHeight="false" outlineLevel="0" collapsed="false">
      <c r="A11" s="8" t="s">
        <v>10</v>
      </c>
    </row>
    <row r="12" customFormat="false" ht="15" hidden="false" customHeight="false" outlineLevel="0" collapsed="false">
      <c r="A12" s="0" t="s">
        <v>11</v>
      </c>
    </row>
    <row r="13" customFormat="false" ht="15" hidden="false" customHeight="false" outlineLevel="0" collapsed="false">
      <c r="A13" s="0" t="s">
        <v>12</v>
      </c>
    </row>
    <row r="14" customFormat="false" ht="15" hidden="false" customHeight="false" outlineLevel="0" collapsed="false">
      <c r="A14" s="0" t="s">
        <v>13</v>
      </c>
    </row>
    <row r="15" customFormat="false" ht="15" hidden="false" customHeight="false" outlineLevel="0" collapsed="false">
      <c r="A15" s="0" t="s">
        <v>14</v>
      </c>
    </row>
    <row r="16" customFormat="false" ht="15" hidden="false" customHeight="false" outlineLevel="0" collapsed="false">
      <c r="A16" s="0" t="s">
        <v>15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5" min="2" style="0" width="28"/>
  </cols>
  <sheetData>
    <row r="1" customFormat="false" ht="19.7" hidden="false" customHeight="false" outlineLevel="0" collapsed="false">
      <c r="A1" s="1" t="s">
        <v>16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17</v>
      </c>
      <c r="B2" s="2"/>
      <c r="C2" s="2"/>
      <c r="D2" s="2"/>
      <c r="E2" s="2"/>
    </row>
    <row r="4" customFormat="false" ht="34.5" hidden="false" customHeight="true" outlineLevel="0" collapsed="false">
      <c r="A4" s="3" t="s">
        <v>2</v>
      </c>
      <c r="B4" s="3" t="s">
        <v>18</v>
      </c>
      <c r="C4" s="3" t="s">
        <v>19</v>
      </c>
      <c r="D4" s="3" t="s">
        <v>20</v>
      </c>
      <c r="E4" s="3" t="s">
        <v>21</v>
      </c>
    </row>
    <row r="5" customFormat="false" ht="15" hidden="false" customHeight="false" outlineLevel="0" collapsed="false">
      <c r="A5" s="4" t="n">
        <v>2026</v>
      </c>
      <c r="B5" s="5" t="n">
        <v>720</v>
      </c>
      <c r="C5" s="5" t="n">
        <v>115</v>
      </c>
      <c r="D5" s="6" t="n">
        <f aca="false">C5/B5</f>
        <v>0.159722222222222</v>
      </c>
      <c r="E5" s="6" t="n">
        <f aca="false">(B5-530)/530</f>
        <v>0.358490566037736</v>
      </c>
    </row>
    <row r="6" customFormat="false" ht="15" hidden="false" customHeight="false" outlineLevel="0" collapsed="false">
      <c r="A6" s="4" t="n">
        <v>2027</v>
      </c>
      <c r="B6" s="5" t="n">
        <v>850</v>
      </c>
      <c r="C6" s="5" t="n">
        <v>130</v>
      </c>
      <c r="D6" s="6" t="n">
        <f aca="false">C6/B6</f>
        <v>0.152941176470588</v>
      </c>
      <c r="E6" s="6" t="n">
        <f aca="false">(B6-B5)/B5</f>
        <v>0.180555555555556</v>
      </c>
    </row>
    <row r="7" customFormat="false" ht="15" hidden="false" customHeight="false" outlineLevel="0" collapsed="false">
      <c r="A7" s="4" t="n">
        <v>2028</v>
      </c>
      <c r="B7" s="5" t="n">
        <v>960</v>
      </c>
      <c r="C7" s="5" t="n">
        <v>145</v>
      </c>
      <c r="D7" s="6" t="n">
        <f aca="false">C7/B7</f>
        <v>0.151041666666667</v>
      </c>
      <c r="E7" s="6" t="n">
        <f aca="false">(B7-B6)/B6</f>
        <v>0.129411764705882</v>
      </c>
    </row>
    <row r="8" customFormat="false" ht="15" hidden="false" customHeight="false" outlineLevel="0" collapsed="false">
      <c r="A8" s="4" t="n">
        <v>2029</v>
      </c>
      <c r="B8" s="5" t="n">
        <v>1050</v>
      </c>
      <c r="C8" s="5" t="n">
        <v>155</v>
      </c>
      <c r="D8" s="6" t="n">
        <f aca="false">C8/B8</f>
        <v>0.147619047619048</v>
      </c>
      <c r="E8" s="6" t="n">
        <f aca="false">(B8-B7)/B7</f>
        <v>0.09375</v>
      </c>
    </row>
    <row r="9" customFormat="false" ht="15" hidden="false" customHeight="false" outlineLevel="0" collapsed="false">
      <c r="A9" s="4" t="n">
        <v>2030</v>
      </c>
      <c r="B9" s="5" t="n">
        <v>1120</v>
      </c>
      <c r="C9" s="5" t="n">
        <v>165</v>
      </c>
      <c r="D9" s="6" t="n">
        <f aca="false">C9/B9</f>
        <v>0.147321428571429</v>
      </c>
      <c r="E9" s="6" t="n">
        <f aca="false">(B9-B8)/B8</f>
        <v>0.0666666666666667</v>
      </c>
    </row>
    <row r="11" customFormat="false" ht="15" hidden="false" customHeight="false" outlineLevel="0" collapsed="false">
      <c r="A11" s="8" t="s">
        <v>22</v>
      </c>
    </row>
    <row r="12" customFormat="false" ht="15" hidden="false" customHeight="false" outlineLevel="0" collapsed="false">
      <c r="A12" s="0" t="s">
        <v>23</v>
      </c>
    </row>
    <row r="13" customFormat="false" ht="15" hidden="false" customHeight="false" outlineLevel="0" collapsed="false">
      <c r="A13" s="0" t="s">
        <v>24</v>
      </c>
    </row>
    <row r="14" customFormat="false" ht="15" hidden="false" customHeight="false" outlineLevel="0" collapsed="false">
      <c r="A14" s="0" t="s">
        <v>25</v>
      </c>
    </row>
    <row r="15" customFormat="false" ht="15" hidden="false" customHeight="false" outlineLevel="0" collapsed="false">
      <c r="A15" s="0" t="s">
        <v>26</v>
      </c>
    </row>
    <row r="16" customFormat="false" ht="15" hidden="false" customHeight="false" outlineLevel="0" collapsed="false">
      <c r="A16" s="0" t="s">
        <v>27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45"/>
    <col collapsed="false" customWidth="true" hidden="false" outlineLevel="0" max="3" min="3" style="0" width="55"/>
  </cols>
  <sheetData>
    <row r="1" customFormat="false" ht="19.7" hidden="false" customHeight="false" outlineLevel="0" collapsed="false">
      <c r="A1" s="1" t="s">
        <v>28</v>
      </c>
      <c r="B1" s="1"/>
      <c r="C1" s="1"/>
    </row>
    <row r="3" customFormat="false" ht="21.75" hidden="false" customHeight="true" outlineLevel="0" collapsed="false">
      <c r="A3" s="3" t="s">
        <v>29</v>
      </c>
      <c r="B3" s="3" t="s">
        <v>30</v>
      </c>
      <c r="C3" s="3" t="s">
        <v>31</v>
      </c>
    </row>
    <row r="4" customFormat="false" ht="15" hidden="false" customHeight="false" outlineLevel="0" collapsed="false">
      <c r="A4" s="9" t="s">
        <v>32</v>
      </c>
      <c r="B4" s="10" t="s">
        <v>33</v>
      </c>
      <c r="C4" s="10" t="s">
        <v>34</v>
      </c>
    </row>
    <row r="5" customFormat="false" ht="15" hidden="false" customHeight="false" outlineLevel="0" collapsed="false">
      <c r="A5" s="11" t="s">
        <v>35</v>
      </c>
      <c r="B5" s="12" t="s">
        <v>36</v>
      </c>
      <c r="C5" s="12" t="s">
        <v>37</v>
      </c>
    </row>
    <row r="6" customFormat="false" ht="15" hidden="false" customHeight="false" outlineLevel="0" collapsed="false">
      <c r="A6" s="9" t="s">
        <v>38</v>
      </c>
      <c r="B6" s="10" t="s">
        <v>39</v>
      </c>
      <c r="C6" s="10" t="s">
        <v>40</v>
      </c>
    </row>
    <row r="7" customFormat="false" ht="15" hidden="false" customHeight="false" outlineLevel="0" collapsed="false">
      <c r="A7" s="11" t="s">
        <v>41</v>
      </c>
      <c r="B7" s="12" t="s">
        <v>42</v>
      </c>
      <c r="C7" s="12" t="s">
        <v>43</v>
      </c>
    </row>
    <row r="8" customFormat="false" ht="15" hidden="false" customHeight="false" outlineLevel="0" collapsed="false">
      <c r="A8" s="9" t="s">
        <v>44</v>
      </c>
      <c r="B8" s="10" t="s">
        <v>45</v>
      </c>
      <c r="C8" s="10" t="s">
        <v>46</v>
      </c>
    </row>
    <row r="9" customFormat="false" ht="15" hidden="false" customHeight="false" outlineLevel="0" collapsed="false">
      <c r="A9" s="11" t="s">
        <v>47</v>
      </c>
      <c r="B9" s="12" t="s">
        <v>48</v>
      </c>
      <c r="C9" s="12" t="s">
        <v>49</v>
      </c>
    </row>
    <row r="10" customFormat="false" ht="15" hidden="false" customHeight="false" outlineLevel="0" collapsed="false">
      <c r="A10" s="9" t="s">
        <v>50</v>
      </c>
      <c r="B10" s="10" t="s">
        <v>51</v>
      </c>
      <c r="C10" s="10" t="s">
        <v>52</v>
      </c>
    </row>
    <row r="11" customFormat="false" ht="15" hidden="false" customHeight="false" outlineLevel="0" collapsed="false">
      <c r="A11" s="11" t="s">
        <v>53</v>
      </c>
      <c r="B11" s="12" t="s">
        <v>54</v>
      </c>
      <c r="C11" s="12" t="s">
        <v>55</v>
      </c>
    </row>
    <row r="12" customFormat="false" ht="15" hidden="false" customHeight="false" outlineLevel="0" collapsed="false">
      <c r="A12" s="9" t="s">
        <v>56</v>
      </c>
      <c r="B12" s="10" t="s">
        <v>57</v>
      </c>
      <c r="C12" s="10" t="s">
        <v>58</v>
      </c>
    </row>
    <row r="13" customFormat="false" ht="15" hidden="false" customHeight="false" outlineLevel="0" collapsed="false">
      <c r="A13" s="11" t="s">
        <v>59</v>
      </c>
      <c r="B13" s="12" t="s">
        <v>60</v>
      </c>
      <c r="C13" s="12" t="s">
        <v>61</v>
      </c>
    </row>
    <row r="14" customFormat="false" ht="15" hidden="false" customHeight="false" outlineLevel="0" collapsed="false">
      <c r="A14" s="9" t="s">
        <v>62</v>
      </c>
      <c r="B14" s="10" t="s">
        <v>63</v>
      </c>
      <c r="C14" s="10" t="s">
        <v>64</v>
      </c>
    </row>
    <row r="15" customFormat="false" ht="15" hidden="false" customHeight="false" outlineLevel="0" collapsed="false">
      <c r="A15" s="11" t="s">
        <v>65</v>
      </c>
      <c r="B15" s="12" t="s">
        <v>66</v>
      </c>
      <c r="C15" s="12" t="s">
        <v>67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8"/>
    <col collapsed="false" customWidth="true" hidden="false" outlineLevel="0" max="3" min="3" style="0" width="12"/>
    <col collapsed="false" customWidth="true" hidden="false" outlineLevel="0" max="4" min="4" style="0" width="55"/>
  </cols>
  <sheetData>
    <row r="1" customFormat="false" ht="19.7" hidden="false" customHeight="false" outlineLevel="0" collapsed="false">
      <c r="A1" s="1" t="s">
        <v>68</v>
      </c>
      <c r="B1" s="1"/>
      <c r="C1" s="1"/>
      <c r="D1" s="1"/>
    </row>
    <row r="2" customFormat="false" ht="15" hidden="false" customHeight="false" outlineLevel="0" collapsed="false">
      <c r="A2" s="13" t="s">
        <v>69</v>
      </c>
      <c r="B2" s="13"/>
      <c r="C2" s="13"/>
      <c r="D2" s="13"/>
    </row>
    <row r="4" customFormat="false" ht="30" hidden="false" customHeight="true" outlineLevel="0" collapsed="false">
      <c r="A4" s="3" t="s">
        <v>70</v>
      </c>
      <c r="B4" s="3" t="s">
        <v>29</v>
      </c>
      <c r="C4" s="3" t="s">
        <v>71</v>
      </c>
      <c r="D4" s="3" t="s">
        <v>72</v>
      </c>
    </row>
    <row r="5" customFormat="false" ht="15" hidden="false" customHeight="false" outlineLevel="0" collapsed="false">
      <c r="A5" s="12" t="s">
        <v>73</v>
      </c>
      <c r="B5" s="12" t="s">
        <v>74</v>
      </c>
      <c r="C5" s="14" t="n">
        <v>100</v>
      </c>
      <c r="D5" s="12" t="s">
        <v>75</v>
      </c>
    </row>
    <row r="6" customFormat="false" ht="15" hidden="false" customHeight="false" outlineLevel="0" collapsed="false">
      <c r="A6" s="10" t="s">
        <v>76</v>
      </c>
      <c r="B6" s="10" t="s">
        <v>77</v>
      </c>
      <c r="C6" s="15" t="n">
        <v>80</v>
      </c>
      <c r="D6" s="10" t="s">
        <v>78</v>
      </c>
    </row>
    <row r="7" customFormat="false" ht="15" hidden="false" customHeight="false" outlineLevel="0" collapsed="false">
      <c r="A7" s="12" t="s">
        <v>79</v>
      </c>
      <c r="B7" s="12" t="s">
        <v>80</v>
      </c>
      <c r="C7" s="14" t="n">
        <v>60</v>
      </c>
      <c r="D7" s="12" t="s">
        <v>81</v>
      </c>
    </row>
    <row r="8" customFormat="false" ht="15" hidden="false" customHeight="false" outlineLevel="0" collapsed="false">
      <c r="A8" s="10" t="s">
        <v>82</v>
      </c>
      <c r="B8" s="10" t="s">
        <v>83</v>
      </c>
      <c r="C8" s="15" t="n">
        <v>60</v>
      </c>
      <c r="D8" s="10" t="s">
        <v>84</v>
      </c>
    </row>
    <row r="9" customFormat="false" ht="15" hidden="false" customHeight="false" outlineLevel="0" collapsed="false">
      <c r="A9" s="12" t="s">
        <v>85</v>
      </c>
      <c r="B9" s="12" t="s">
        <v>86</v>
      </c>
      <c r="C9" s="14" t="n">
        <v>100</v>
      </c>
      <c r="D9" s="12" t="s">
        <v>87</v>
      </c>
    </row>
    <row r="10" customFormat="false" ht="15" hidden="false" customHeight="false" outlineLevel="0" collapsed="false">
      <c r="A10" s="10" t="s">
        <v>88</v>
      </c>
      <c r="B10" s="10" t="s">
        <v>89</v>
      </c>
      <c r="C10" s="15" t="n">
        <v>80</v>
      </c>
      <c r="D10" s="10" t="s">
        <v>90</v>
      </c>
    </row>
    <row r="11" customFormat="false" ht="15" hidden="false" customHeight="false" outlineLevel="0" collapsed="false">
      <c r="A11" s="12" t="s">
        <v>88</v>
      </c>
      <c r="B11" s="12" t="s">
        <v>91</v>
      </c>
      <c r="C11" s="14" t="n">
        <v>80</v>
      </c>
      <c r="D11" s="12" t="s">
        <v>92</v>
      </c>
    </row>
    <row r="12" customFormat="false" ht="15" hidden="false" customHeight="false" outlineLevel="0" collapsed="false">
      <c r="A12" s="10" t="s">
        <v>93</v>
      </c>
      <c r="B12" s="10" t="s">
        <v>94</v>
      </c>
      <c r="C12" s="15" t="n">
        <v>80</v>
      </c>
      <c r="D12" s="10" t="s">
        <v>95</v>
      </c>
    </row>
    <row r="13" customFormat="false" ht="15" hidden="false" customHeight="false" outlineLevel="0" collapsed="false">
      <c r="A13" s="12" t="s">
        <v>96</v>
      </c>
      <c r="B13" s="12" t="s">
        <v>97</v>
      </c>
      <c r="C13" s="14" t="n">
        <v>40</v>
      </c>
      <c r="D13" s="12" t="s">
        <v>98</v>
      </c>
    </row>
    <row r="14" customFormat="false" ht="15" hidden="false" customHeight="false" outlineLevel="0" collapsed="false">
      <c r="A14" s="10" t="s">
        <v>96</v>
      </c>
      <c r="B14" s="10" t="s">
        <v>99</v>
      </c>
      <c r="C14" s="15" t="n">
        <v>20</v>
      </c>
      <c r="D14" s="10" t="s">
        <v>100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28"/>
  </cols>
  <sheetData>
    <row r="1" customFormat="false" ht="19.7" hidden="false" customHeight="false" outlineLevel="0" collapsed="false">
      <c r="A1" s="1" t="s">
        <v>101</v>
      </c>
      <c r="B1" s="1"/>
      <c r="C1" s="1"/>
      <c r="D1" s="1"/>
      <c r="E1" s="1"/>
    </row>
    <row r="3" customFormat="false" ht="30" hidden="false" customHeight="true" outlineLevel="0" collapsed="false">
      <c r="A3" s="3" t="s">
        <v>102</v>
      </c>
      <c r="B3" s="3" t="s">
        <v>103</v>
      </c>
      <c r="C3" s="3" t="s">
        <v>104</v>
      </c>
      <c r="D3" s="3" t="s">
        <v>105</v>
      </c>
      <c r="E3" s="3" t="s">
        <v>106</v>
      </c>
    </row>
    <row r="4" customFormat="false" ht="23.85" hidden="false" customHeight="false" outlineLevel="0" collapsed="false">
      <c r="A4" s="10" t="s">
        <v>107</v>
      </c>
      <c r="B4" s="10" t="s">
        <v>108</v>
      </c>
      <c r="C4" s="10" t="s">
        <v>109</v>
      </c>
      <c r="D4" s="10" t="s">
        <v>110</v>
      </c>
      <c r="E4" s="10" t="s">
        <v>111</v>
      </c>
    </row>
    <row r="5" customFormat="false" ht="23.85" hidden="false" customHeight="false" outlineLevel="0" collapsed="false">
      <c r="A5" s="12" t="s">
        <v>112</v>
      </c>
      <c r="B5" s="12" t="s">
        <v>113</v>
      </c>
      <c r="C5" s="12" t="s">
        <v>114</v>
      </c>
      <c r="D5" s="12" t="s">
        <v>115</v>
      </c>
      <c r="E5" s="12" t="s">
        <v>116</v>
      </c>
    </row>
    <row r="6" customFormat="false" ht="23.85" hidden="false" customHeight="false" outlineLevel="0" collapsed="false">
      <c r="A6" s="10" t="s">
        <v>117</v>
      </c>
      <c r="B6" s="10" t="s">
        <v>118</v>
      </c>
      <c r="C6" s="10" t="s">
        <v>119</v>
      </c>
      <c r="D6" s="10" t="s">
        <v>120</v>
      </c>
      <c r="E6" s="10" t="s">
        <v>121</v>
      </c>
    </row>
    <row r="7" customFormat="false" ht="23.85" hidden="false" customHeight="false" outlineLevel="0" collapsed="false">
      <c r="A7" s="12" t="s">
        <v>122</v>
      </c>
      <c r="B7" s="12" t="s">
        <v>123</v>
      </c>
      <c r="C7" s="12" t="s">
        <v>124</v>
      </c>
      <c r="D7" s="12" t="s">
        <v>125</v>
      </c>
      <c r="E7" s="12" t="s">
        <v>126</v>
      </c>
    </row>
    <row r="8" customFormat="false" ht="23.85" hidden="false" customHeight="false" outlineLevel="0" collapsed="false">
      <c r="A8" s="10" t="s">
        <v>127</v>
      </c>
      <c r="B8" s="10" t="s">
        <v>128</v>
      </c>
      <c r="C8" s="10" t="s">
        <v>129</v>
      </c>
      <c r="D8" s="10" t="s">
        <v>130</v>
      </c>
      <c r="E8" s="10" t="s">
        <v>131</v>
      </c>
    </row>
    <row r="10" customFormat="false" ht="15" hidden="false" customHeight="false" outlineLevel="0" collapsed="false">
      <c r="A10" s="8" t="s">
        <v>132</v>
      </c>
    </row>
    <row r="11" customFormat="false" ht="45" hidden="false" customHeight="true" outlineLevel="0" collapsed="false">
      <c r="A11" s="16" t="s">
        <v>133</v>
      </c>
      <c r="B11" s="16"/>
      <c r="C11" s="16"/>
      <c r="D11" s="16"/>
      <c r="E11" s="16"/>
    </row>
  </sheetData>
  <mergeCells count="2">
    <mergeCell ref="A1:E1"/>
    <mergeCell ref="A11:E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18"/>
  </cols>
  <sheetData>
    <row r="1" customFormat="false" ht="19.7" hidden="false" customHeight="false" outlineLevel="0" collapsed="false">
      <c r="A1" s="1" t="s">
        <v>134</v>
      </c>
      <c r="B1" s="1"/>
      <c r="C1" s="1"/>
      <c r="D1" s="1"/>
      <c r="E1" s="1"/>
      <c r="F1" s="1"/>
    </row>
    <row r="3" customFormat="false" ht="30" hidden="false" customHeight="true" outlineLevel="0" collapsed="false">
      <c r="A3" s="3" t="s">
        <v>2</v>
      </c>
      <c r="B3" s="3" t="s">
        <v>135</v>
      </c>
      <c r="C3" s="3" t="s">
        <v>3</v>
      </c>
      <c r="D3" s="3" t="s">
        <v>136</v>
      </c>
      <c r="E3" s="3" t="s">
        <v>20</v>
      </c>
      <c r="F3" s="3" t="s">
        <v>137</v>
      </c>
    </row>
    <row r="4" customFormat="false" ht="15" hidden="false" customHeight="false" outlineLevel="0" collapsed="false">
      <c r="A4" s="17" t="n">
        <v>2021</v>
      </c>
      <c r="B4" s="18" t="s">
        <v>138</v>
      </c>
      <c r="C4" s="19" t="n">
        <v>120</v>
      </c>
      <c r="D4" s="19" t="n">
        <v>35</v>
      </c>
      <c r="E4" s="6" t="n">
        <f aca="false">D4/C4</f>
        <v>0.291666666666667</v>
      </c>
      <c r="F4" s="7" t="s">
        <v>9</v>
      </c>
    </row>
    <row r="5" customFormat="false" ht="15" hidden="false" customHeight="false" outlineLevel="0" collapsed="false">
      <c r="A5" s="17" t="n">
        <v>2022</v>
      </c>
      <c r="B5" s="18" t="s">
        <v>138</v>
      </c>
      <c r="C5" s="19" t="n">
        <v>250</v>
      </c>
      <c r="D5" s="19" t="n">
        <v>70</v>
      </c>
      <c r="E5" s="6" t="n">
        <f aca="false">D5/C5</f>
        <v>0.28</v>
      </c>
      <c r="F5" s="6" t="n">
        <f aca="false">(C5-C4)/C4</f>
        <v>1.08333333333333</v>
      </c>
    </row>
    <row r="6" customFormat="false" ht="15" hidden="false" customHeight="false" outlineLevel="0" collapsed="false">
      <c r="A6" s="17" t="n">
        <v>2023</v>
      </c>
      <c r="B6" s="18" t="s">
        <v>138</v>
      </c>
      <c r="C6" s="19" t="n">
        <v>370</v>
      </c>
      <c r="D6" s="19" t="n">
        <v>85</v>
      </c>
      <c r="E6" s="6" t="n">
        <f aca="false">D6/C6</f>
        <v>0.22972972972973</v>
      </c>
      <c r="F6" s="6" t="n">
        <f aca="false">(C6-C5)/C5</f>
        <v>0.48</v>
      </c>
    </row>
    <row r="7" customFormat="false" ht="15" hidden="false" customHeight="false" outlineLevel="0" collapsed="false">
      <c r="A7" s="17" t="n">
        <v>2024</v>
      </c>
      <c r="B7" s="18" t="s">
        <v>138</v>
      </c>
      <c r="C7" s="19" t="n">
        <v>480</v>
      </c>
      <c r="D7" s="19" t="n">
        <v>100</v>
      </c>
      <c r="E7" s="6" t="n">
        <f aca="false">D7/C7</f>
        <v>0.208333333333333</v>
      </c>
      <c r="F7" s="6" t="n">
        <f aca="false">(C7-C6)/C6</f>
        <v>0.297297297297297</v>
      </c>
    </row>
    <row r="8" customFormat="false" ht="15" hidden="false" customHeight="false" outlineLevel="0" collapsed="false">
      <c r="A8" s="20" t="n">
        <v>2025</v>
      </c>
      <c r="B8" s="21" t="s">
        <v>139</v>
      </c>
      <c r="C8" s="22" t="n">
        <v>530</v>
      </c>
      <c r="D8" s="22" t="n">
        <v>105</v>
      </c>
      <c r="E8" s="6" t="n">
        <f aca="false">D8/C8</f>
        <v>0.19811320754717</v>
      </c>
      <c r="F8" s="6" t="n">
        <f aca="false">(C8-C7)/C7</f>
        <v>0.104166666666667</v>
      </c>
    </row>
    <row r="9" customFormat="false" ht="15" hidden="false" customHeight="false" outlineLevel="0" collapsed="false">
      <c r="A9" s="23" t="n">
        <v>2026</v>
      </c>
      <c r="B9" s="24" t="s">
        <v>140</v>
      </c>
      <c r="C9" s="25" t="n">
        <v>720</v>
      </c>
      <c r="D9" s="25" t="n">
        <v>115</v>
      </c>
      <c r="E9" s="6" t="n">
        <f aca="false">D9/C9</f>
        <v>0.159722222222222</v>
      </c>
      <c r="F9" s="6" t="n">
        <f aca="false">(C9-C8)/C8</f>
        <v>0.358490566037736</v>
      </c>
    </row>
    <row r="10" customFormat="false" ht="15" hidden="false" customHeight="false" outlineLevel="0" collapsed="false">
      <c r="A10" s="23" t="n">
        <v>2027</v>
      </c>
      <c r="B10" s="24" t="s">
        <v>140</v>
      </c>
      <c r="C10" s="25" t="n">
        <v>850</v>
      </c>
      <c r="D10" s="25" t="n">
        <v>130</v>
      </c>
      <c r="E10" s="6" t="n">
        <f aca="false">D10/C10</f>
        <v>0.152941176470588</v>
      </c>
      <c r="F10" s="6" t="n">
        <f aca="false">(C10-C9)/C9</f>
        <v>0.180555555555556</v>
      </c>
    </row>
    <row r="11" customFormat="false" ht="15" hidden="false" customHeight="false" outlineLevel="0" collapsed="false">
      <c r="A11" s="23" t="n">
        <v>2028</v>
      </c>
      <c r="B11" s="24" t="s">
        <v>140</v>
      </c>
      <c r="C11" s="25" t="n">
        <v>960</v>
      </c>
      <c r="D11" s="25" t="n">
        <v>145</v>
      </c>
      <c r="E11" s="6" t="n">
        <f aca="false">D11/C11</f>
        <v>0.151041666666667</v>
      </c>
      <c r="F11" s="6" t="n">
        <f aca="false">(C11-C10)/C10</f>
        <v>0.129411764705882</v>
      </c>
    </row>
    <row r="12" customFormat="false" ht="15" hidden="false" customHeight="false" outlineLevel="0" collapsed="false">
      <c r="A12" s="23" t="n">
        <v>2029</v>
      </c>
      <c r="B12" s="24" t="s">
        <v>140</v>
      </c>
      <c r="C12" s="25" t="n">
        <v>1050</v>
      </c>
      <c r="D12" s="25" t="n">
        <v>155</v>
      </c>
      <c r="E12" s="6" t="n">
        <f aca="false">D12/C12</f>
        <v>0.147619047619048</v>
      </c>
      <c r="F12" s="6" t="n">
        <f aca="false">(C12-C11)/C11</f>
        <v>0.09375</v>
      </c>
    </row>
    <row r="13" customFormat="false" ht="15" hidden="false" customHeight="false" outlineLevel="0" collapsed="false">
      <c r="A13" s="23" t="n">
        <v>2030</v>
      </c>
      <c r="B13" s="24" t="s">
        <v>140</v>
      </c>
      <c r="C13" s="25" t="n">
        <v>1120</v>
      </c>
      <c r="D13" s="25" t="n">
        <v>165</v>
      </c>
      <c r="E13" s="6" t="n">
        <f aca="false">D13/C13</f>
        <v>0.147321428571429</v>
      </c>
      <c r="F13" s="6" t="n">
        <f aca="false">(C13-C12)/C12</f>
        <v>0.0666666666666667</v>
      </c>
    </row>
    <row r="16" customFormat="false" ht="15" hidden="false" customHeight="false" outlineLevel="0" collapsed="false">
      <c r="A16" s="26" t="s">
        <v>141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55"/>
  </cols>
  <sheetData>
    <row r="1" customFormat="false" ht="19.7" hidden="false" customHeight="false" outlineLevel="0" collapsed="false">
      <c r="A1" s="27" t="s">
        <v>142</v>
      </c>
    </row>
    <row r="3" customFormat="false" ht="15" hidden="false" customHeight="false" outlineLevel="0" collapsed="false">
      <c r="A3" s="0" t="s">
        <v>143</v>
      </c>
      <c r="B3" s="0" t="s">
        <v>144</v>
      </c>
    </row>
    <row r="4" customFormat="false" ht="15" hidden="false" customHeight="false" outlineLevel="0" collapsed="false">
      <c r="A4" s="0" t="s">
        <v>145</v>
      </c>
      <c r="B4" s="0" t="s">
        <v>146</v>
      </c>
    </row>
    <row r="5" customFormat="false" ht="15" hidden="false" customHeight="false" outlineLevel="0" collapsed="false">
      <c r="A5" s="0" t="s">
        <v>147</v>
      </c>
      <c r="B5" s="0" t="s">
        <v>148</v>
      </c>
    </row>
    <row r="6" customFormat="false" ht="15" hidden="false" customHeight="false" outlineLevel="0" collapsed="false">
      <c r="A6" s="0" t="s">
        <v>149</v>
      </c>
      <c r="B6" s="0" t="s">
        <v>150</v>
      </c>
    </row>
    <row r="7" customFormat="false" ht="15" hidden="false" customHeight="false" outlineLevel="0" collapsed="false">
      <c r="A7" s="0" t="s">
        <v>151</v>
      </c>
      <c r="B7" s="0" t="s">
        <v>152</v>
      </c>
    </row>
    <row r="8" customFormat="false" ht="15" hidden="false" customHeight="false" outlineLevel="0" collapsed="false">
      <c r="A8" s="0" t="s">
        <v>153</v>
      </c>
      <c r="B8" s="0" t="s">
        <v>154</v>
      </c>
    </row>
    <row r="10" customFormat="false" ht="15" hidden="false" customHeight="false" outlineLevel="0" collapsed="false">
      <c r="A10" s="8" t="s">
        <v>155</v>
      </c>
    </row>
    <row r="11" customFormat="false" ht="15" hidden="false" customHeight="false" outlineLevel="0" collapsed="false">
      <c r="A11" s="0" t="s">
        <v>156</v>
      </c>
    </row>
    <row r="12" customFormat="false" ht="15" hidden="false" customHeight="false" outlineLevel="0" collapsed="false">
      <c r="A12" s="0" t="s">
        <v>157</v>
      </c>
    </row>
    <row r="13" customFormat="false" ht="15" hidden="false" customHeight="false" outlineLevel="0" collapsed="false">
      <c r="A13" s="0" t="s">
        <v>158</v>
      </c>
    </row>
    <row r="14" customFormat="false" ht="15" hidden="false" customHeight="false" outlineLevel="0" collapsed="false">
      <c r="A14" s="0" t="s">
        <v>159</v>
      </c>
    </row>
    <row r="15" customFormat="false" ht="15" hidden="false" customHeight="false" outlineLevel="0" collapsed="false">
      <c r="A15" s="0" t="s">
        <v>160</v>
      </c>
    </row>
    <row r="16" customFormat="false" ht="15" hidden="false" customHeight="false" outlineLevel="0" collapsed="false">
      <c r="A16" s="0" t="s">
        <v>161</v>
      </c>
    </row>
    <row r="18" customFormat="false" ht="15" hidden="false" customHeight="false" outlineLevel="0" collapsed="false">
      <c r="A18" s="8" t="s">
        <v>162</v>
      </c>
    </row>
    <row r="19" customFormat="false" ht="15" hidden="false" customHeight="false" outlineLevel="0" collapsed="false">
      <c r="A19" s="0" t="s">
        <v>163</v>
      </c>
    </row>
    <row r="20" customFormat="false" ht="15" hidden="false" customHeight="false" outlineLevel="0" collapsed="false">
      <c r="A20" s="0" t="s">
        <v>164</v>
      </c>
    </row>
    <row r="21" customFormat="false" ht="15" hidden="false" customHeight="false" outlineLevel="0" collapsed="false">
      <c r="A21" s="0" t="s">
        <v>165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2026-07-26T16:47:36Z</dcterms:created>
  <dc:creator>openpyxl</dc:creator>
  <dc:description/>
  <dc:language>en-US</dc:language>
  <cp:lastModifiedBy/>
  <dcterms:modified xsi:type="dcterms:W3CDTF">2026-07-26T16:47:36Z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